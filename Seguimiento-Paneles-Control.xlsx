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eatriz.real/Desktop/Campus-redesign/"/>
    </mc:Choice>
  </mc:AlternateContent>
  <xr:revisionPtr revIDLastSave="0" documentId="13_ncr:1_{06FAC962-02CF-1741-B421-98A9707CC1DB}" xr6:coauthVersionLast="47" xr6:coauthVersionMax="47" xr10:uidLastSave="{00000000-0000-0000-0000-000000000000}"/>
  <bookViews>
    <workbookView xWindow="-3800" yWindow="-21000" windowWidth="38400" windowHeight="21000" xr2:uid="{00000000-000D-0000-FFFF-FFFF00000000}"/>
  </bookViews>
  <sheets>
    <sheet name="Paneles de control" sheetId="1" r:id="rId1"/>
  </sheets>
  <definedNames>
    <definedName name="_xlnm._FilterDatabase" localSheetId="0" hidden="1">'Paneles de control'!$A$3:$I$26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8" i="1"/>
</calcChain>
</file>

<file path=xl/sharedStrings.xml><?xml version="1.0" encoding="utf-8"?>
<sst xmlns="http://schemas.openxmlformats.org/spreadsheetml/2006/main" count="187" uniqueCount="111">
  <si>
    <t>Seguimiento de Paneles de Control — Rebranding IVI Institute Education</t>
  </si>
  <si>
    <t>Nº</t>
  </si>
  <si>
    <t>Sección</t>
  </si>
  <si>
    <t>Panel</t>
  </si>
  <si>
    <t>Dashboard / Tenant</t>
  </si>
  <si>
    <t>Cambios realizados</t>
  </si>
  <si>
    <t>Páginas del repositorio relacionadas</t>
  </si>
  <si>
    <t>PRE (actuatxp)</t>
  </si>
  <si>
    <t>PRO (ivirmacampus)</t>
  </si>
  <si>
    <t>Notas</t>
  </si>
  <si>
    <t>Home / Formacion</t>
  </si>
  <si>
    <t>Formacion General con LFE</t>
  </si>
  <si>
    <t>Home interna · dashboard-9</t>
  </si>
  <si>
    <t>Home rebrandeada: hero, banner LFE, CTA catálogo, OneTech, Mis PNTs, repositorio de documentos, informe de finalización, cursos que imparto/tutorizo, Mis certificados.</t>
  </si>
  <si>
    <t>bloques/4-codigo-nuevo/Formacion-General-con-LFE_HOME/ (00–09) · css-totara-organizado.css secc. 28 (HOME)</t>
  </si>
  <si>
    <t>✅ Hecho</t>
  </si>
  <si>
    <t>☐ Pendiente</t>
  </si>
  <si>
    <t>Externos</t>
  </si>
  <si>
    <t>Tenant Externos</t>
  </si>
  <si>
    <t>Carrusel «cursos que te pueden interesar», certificados e insignias, Mis certificados (4 columnas, Ver/Descargar).</t>
  </si>
  <si>
    <t>bloques/4-codigo-nuevo/home-externos--cursos-interesar.html, home-internos.html, home-externos--js-ultimas-insignias.html · CSS secc. MIS CERTIFICADOS</t>
  </si>
  <si>
    <t>LFE</t>
  </si>
  <si>
    <t>Formacion Learning for Excellence</t>
  </si>
  <si>
    <t>dashboard-10</t>
  </si>
  <si>
    <t>Hero, presentación, visor, avisos de puntos, formación obligatoria y de excelencia, CTA catálogo.</t>
  </si>
  <si>
    <t>bloques/4-codigo-nuevo/lfe--*.html · CSS secc. 4 (DASHBOARD LFE) y secc. 19 (INFORMES LFE)</t>
  </si>
  <si>
    <t>Visor de Puntos LFE</t>
  </si>
  <si>
    <t>Asignado a 10 audiencias</t>
  </si>
  <si>
    <t>Visor con tabla original + badges/iconos por bloque (obligatoria en azul, excelencia por color de bloque).</t>
  </si>
  <si>
    <t>bloques/4-codigo-nuevo/lfe--visor-puntos.html, visor-puntos--badges-puntos.html · additional-html-footer.js</t>
  </si>
  <si>
    <t>Monthly Seminars</t>
  </si>
  <si>
    <t>dashboard-11</t>
  </si>
  <si>
    <t>Hero, cards de curso, visor, avisos, «Monthly Seminars Completados» (cards estilo Expediente).</t>
  </si>
  <si>
    <t>bloques/4-codigo-nuevo/monthly-seminars--*.html · CSS secc. 4 / secc. 26</t>
  </si>
  <si>
    <t>Must Read Papers</t>
  </si>
  <si>
    <t>(Parte de LFE; por confirmar el detalle específico.)</t>
  </si>
  <si>
    <t>(Base LFE; por confirmar.)</t>
  </si>
  <si>
    <t>Confirmar detalle</t>
  </si>
  <si>
    <t>Expediente</t>
  </si>
  <si>
    <t>dashboard-16 · todos los usuarios logueados</t>
  </si>
  <si>
    <t>Cards de cursos, tabs de filtro, donut de estado, Mis certificados, Añadir/Listado de certificados.</t>
  </si>
  <si>
    <t>expediente/*.html · bloques/4-codigo-nuevo/anadir-certificados--*.html, plantilla-*--certificados.* · CSS secc. 22 + secc. MIS CERTIFICADOS</t>
  </si>
  <si>
    <t>Admin (regionales secc. 29)</t>
  </si>
  <si>
    <t>Panel Admin_North Europe</t>
  </si>
  <si>
    <t>Tenant North Europe · dashboard-4</t>
  </si>
  <si>
    <t>secc. 29 admin: fondo warm-gray, bloques en tarjeta blanca, hero pill, buscador, navs, gráficas (recuadro + recolor de barras), sidebar.</t>
  </si>
  <si>
    <t>bloques/3-codigo-actual/panel-admin_North-Europe.html · CSS secc. 29 · additional-html-footer.js · panel-admin--imagenes-a-resubir.md</t>
  </si>
  <si>
    <t>Panel Admin_North America</t>
  </si>
  <si>
    <t>Tenant North America · dashboard-2</t>
  </si>
  <si>
    <t>secc. 29 admin (mismo tratamiento regional).</t>
  </si>
  <si>
    <t>bloques/3-codigo-actual/panel-admin_North-America.html · CSS secc. 29 · additional-html-footer.js</t>
  </si>
  <si>
    <t>Panel Admin_Italy</t>
  </si>
  <si>
    <t>Tenant Italy · dashboard-3</t>
  </si>
  <si>
    <t>bloques/3-codigo-actual/panel-admin_Italy.html · CSS secc. 29 · additional-html-footer.js</t>
  </si>
  <si>
    <t>Excluidos / dudosos</t>
  </si>
  <si>
    <t>Tenant Iberia-latam-cz</t>
  </si>
  <si>
    <t>«Disponible para ningún usuario» — probablemente no se usa.</t>
  </si>
  <si>
    <t>—</t>
  </si>
  <si>
    <t>— N/A</t>
  </si>
  <si>
    <t>Tenant IMR</t>
  </si>
  <si>
    <t>IMR</t>
  </si>
  <si>
    <t>(Tenant IMR; por confirmar el detalle.)</t>
  </si>
  <si>
    <t>imr/css-tenant-imr.css (por confirmar)</t>
  </si>
  <si>
    <t>Juno Academy</t>
  </si>
  <si>
    <t>Tenant Juno Academy</t>
  </si>
  <si>
    <t>(Por confirmar si aplica.)</t>
  </si>
  <si>
    <t>❓ Revisar</t>
  </si>
  <si>
    <t>Mi panel como Manager</t>
  </si>
  <si>
    <t>dashboard-15</t>
  </si>
  <si>
    <t>Fondo warm-gray + altura de gráficas (400/800px) + recolor de barras (#52b4bb→teal, #e39182→light-blue).</t>
  </si>
  <si>
    <t>bloques/3-codigo-actual/mi-panel-como-manager.html · CSS secc. 29 · additional-html-footer.js (recolor)</t>
  </si>
  <si>
    <t>Pendiente de purgar CDN</t>
  </si>
  <si>
    <t>(nombre redactado)</t>
  </si>
  <si>
    <t>Panel Admin _Latam</t>
  </si>
  <si>
    <t>Tenant Iberia-latam-cz · dashboard-22</t>
  </si>
  <si>
    <t>bloques/3-codigo-actual/panel-admin_Latam.html · CSS secc. 29 · additional-html-footer.js</t>
  </si>
  <si>
    <t>dashboard-23</t>
  </si>
  <si>
    <t>secc. 29 admin + Informes (report_manager) rediseñado: vistas cuadrícula/lista con toggle, fichas en tarjeta, icono en recuadro azul, sin líneas.</t>
  </si>
  <si>
    <t>bloques/3-codigo-actual/panel-admin_global.html, finalizacion-vs-inscritos.html · CSS «Administrador de reportes» + secc. 29</t>
  </si>
  <si>
    <t>Panel admin_meast</t>
  </si>
  <si>
    <t>Tenant Middle East · dashboard-26</t>
  </si>
  <si>
    <t>bloques/3-codigo-actual/panel-admin_middle-east.html · CSS secc. 29 · additional-html-footer.js</t>
  </si>
  <si>
    <t>Visor de Puntos LFE 2025</t>
  </si>
  <si>
    <t>Visor edición 2025 (título con año).</t>
  </si>
  <si>
    <t>bloques/3-codigo-actual/lfe--2025.html (base LFE)</t>
  </si>
  <si>
    <t>OneTech Training</t>
  </si>
  <si>
    <t>Asignado a 3 audiencias</t>
  </si>
  <si>
    <t>(Por confirmar los cambios exactos.)</t>
  </si>
  <si>
    <t>(Por confirmar.)</t>
  </si>
  <si>
    <t>Confirmar cambios</t>
  </si>
  <si>
    <t>Expediente IMR</t>
  </si>
  <si>
    <t>Asignado a 1 audiencia</t>
  </si>
  <si>
    <t>[Admin tenant] IMR</t>
  </si>
  <si>
    <t>Otros</t>
  </si>
  <si>
    <t>PNTs</t>
  </si>
  <si>
    <t>dashboard-33</t>
  </si>
  <si>
    <t>Tiles de cursos como tarjetas (imagen, badge de plazo, progreso) con filtros y paginación cliente. Filtros como botones azul light; «Curso» en gris (sin azul); badges de plazo con paleta de marca (semáforo teal/ámbar/naranja/rojo + Completado borde navy) y dots de leyenda a juego.</t>
  </si>
  <si>
    <t>bloques/3-codigo-actual/pnts-html-adicional.html (JS) · css-totara-organizado.css secc. 6 (DASHBOARD PNTs) y secc. 20 (BLOQUES PNTs)</t>
  </si>
  <si>
    <t>Pendiente purga CDN</t>
  </si>
  <si>
    <t>Resumen</t>
  </si>
  <si>
    <t>Hechos en PRE:</t>
  </si>
  <si>
    <t>Hechos en PRO:</t>
  </si>
  <si>
    <t>Total paneles:</t>
  </si>
  <si>
    <t>PRE = https://ivirma.actuatxp.com/  ·  PRO = https://ivirmacampus.com/   Marca cada entorno: ✅ Hecho · ☐ Pendiente · ⏳ En curso · — N/A · ❓ Revisar</t>
  </si>
  <si>
    <t>Excluido, no es necesario</t>
  </si>
  <si>
    <t>Sin cambios.</t>
  </si>
  <si>
    <t>Descartado</t>
  </si>
  <si>
    <t>No tiene cambios.</t>
  </si>
  <si>
    <t>Iberia-latam-cz</t>
  </si>
  <si>
    <t>Trio Status</t>
  </si>
  <si>
    <t>Panel admin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</si>
</sst>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1"/>
      <color rgb="FF1B1F5C"/>
      <name val="Calibri"/>
    </font>
    <font>
      <b/>
      <sz val="11"/>
      <name val="Calibri"/>
    </font>
    <font>
      <sz val="10"/>
      <name val="Calibri"/>
      <family val="2"/>
    </font>
    <font>
      <i/>
      <sz val="10"/>
      <color rgb="FF33333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E0B3B"/>
      </patternFill>
    </fill>
    <fill>
      <patternFill patternType="solid">
        <fgColor rgb="FFEEF1F8"/>
      </patternFill>
    </fill>
    <fill>
      <patternFill patternType="solid">
        <fgColor rgb="FF1B1F5C"/>
      </patternFill>
    </fill>
    <fill>
      <patternFill patternType="solid">
        <fgColor rgb="FFF6F8F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D0D4E4"/>
      </left>
      <right style="thin">
        <color rgb="FFD0D4E4"/>
      </right>
      <top style="thin">
        <color rgb="FFD0D4E4"/>
      </top>
      <bottom style="thin">
        <color rgb="FFD0D4E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7" fillId="3" borderId="0" xfId="0" applyFont="1" applyFill="1" applyAlignment="1">
      <alignment horizontal="left" vertical="center" indent="1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5">
    <dxf>
      <fill>
        <patternFill patternType="solid">
          <fgColor rgb="FFFFF2CC"/>
        </patternFill>
      </fill>
    </dxf>
    <dxf>
      <fill>
        <patternFill patternType="solid">
          <fgColor rgb="FFE8E8E8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pane ySplit="3" topLeftCell="A4" activePane="bottomLeft" state="frozen"/>
      <selection pane="bottomLeft" activeCell="C21" sqref="C2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30" customWidth="1"/>
    <col min="4" max="4" width="26" customWidth="1"/>
    <col min="5" max="6" width="52" customWidth="1"/>
    <col min="7" max="7" width="16" customWidth="1"/>
    <col min="8" max="8" width="18" customWidth="1"/>
    <col min="9" max="9" width="36.83203125" customWidth="1"/>
  </cols>
  <sheetData>
    <row r="1" spans="1:9" ht="30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2" customHeight="1" x14ac:dyDescent="0.2">
      <c r="A2" s="13" t="s">
        <v>103</v>
      </c>
      <c r="B2" s="12"/>
      <c r="C2" s="12"/>
      <c r="D2" s="12"/>
      <c r="E2" s="12"/>
      <c r="F2" s="12"/>
      <c r="G2" s="12"/>
      <c r="H2" s="12"/>
      <c r="I2" s="12"/>
    </row>
    <row r="3" spans="1:9" ht="3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46" customHeight="1" x14ac:dyDescent="0.2">
      <c r="A4" s="2">
        <v>1</v>
      </c>
      <c r="B4" s="3" t="s">
        <v>10</v>
      </c>
      <c r="C4" s="3" t="s">
        <v>11</v>
      </c>
      <c r="D4" s="3" t="s">
        <v>12</v>
      </c>
      <c r="E4" s="4" t="s">
        <v>13</v>
      </c>
      <c r="F4" s="4" t="s">
        <v>14</v>
      </c>
      <c r="G4" s="2" t="s">
        <v>15</v>
      </c>
      <c r="H4" s="2" t="s">
        <v>16</v>
      </c>
      <c r="I4" s="3"/>
    </row>
    <row r="5" spans="1:9" ht="58" customHeight="1" x14ac:dyDescent="0.2">
      <c r="A5" s="5">
        <v>2</v>
      </c>
      <c r="B5" s="6" t="s">
        <v>10</v>
      </c>
      <c r="C5" s="6" t="s">
        <v>17</v>
      </c>
      <c r="D5" s="6" t="s">
        <v>18</v>
      </c>
      <c r="E5" s="7" t="s">
        <v>19</v>
      </c>
      <c r="F5" s="7" t="s">
        <v>20</v>
      </c>
      <c r="G5" s="5" t="s">
        <v>15</v>
      </c>
      <c r="H5" s="5" t="s">
        <v>16</v>
      </c>
      <c r="I5" s="6"/>
    </row>
    <row r="6" spans="1:9" ht="46" customHeight="1" x14ac:dyDescent="0.2">
      <c r="A6" s="2">
        <v>3</v>
      </c>
      <c r="B6" s="3" t="s">
        <v>21</v>
      </c>
      <c r="C6" s="3" t="s">
        <v>22</v>
      </c>
      <c r="D6" s="3" t="s">
        <v>23</v>
      </c>
      <c r="E6" s="4" t="s">
        <v>24</v>
      </c>
      <c r="F6" s="4" t="s">
        <v>25</v>
      </c>
      <c r="G6" s="2" t="s">
        <v>15</v>
      </c>
      <c r="H6" s="2" t="s">
        <v>16</v>
      </c>
      <c r="I6" s="3"/>
    </row>
    <row r="7" spans="1:9" ht="46" customHeight="1" x14ac:dyDescent="0.2">
      <c r="A7" s="5">
        <v>4</v>
      </c>
      <c r="B7" s="6" t="s">
        <v>21</v>
      </c>
      <c r="C7" s="6" t="s">
        <v>26</v>
      </c>
      <c r="D7" s="6" t="s">
        <v>27</v>
      </c>
      <c r="E7" s="7" t="s">
        <v>28</v>
      </c>
      <c r="F7" s="7" t="s">
        <v>29</v>
      </c>
      <c r="G7" s="5" t="s">
        <v>15</v>
      </c>
      <c r="H7" s="5" t="s">
        <v>16</v>
      </c>
      <c r="I7" s="6"/>
    </row>
    <row r="8" spans="1:9" ht="46" customHeight="1" x14ac:dyDescent="0.2">
      <c r="A8" s="2">
        <v>5</v>
      </c>
      <c r="B8" s="3" t="s">
        <v>21</v>
      </c>
      <c r="C8" s="3" t="s">
        <v>30</v>
      </c>
      <c r="D8" s="3" t="s">
        <v>31</v>
      </c>
      <c r="E8" s="4" t="s">
        <v>32</v>
      </c>
      <c r="F8" s="4" t="s">
        <v>33</v>
      </c>
      <c r="G8" s="2" t="s">
        <v>15</v>
      </c>
      <c r="H8" s="2" t="s">
        <v>16</v>
      </c>
      <c r="I8" s="3"/>
    </row>
    <row r="9" spans="1:9" ht="46" customHeight="1" x14ac:dyDescent="0.2">
      <c r="A9" s="5">
        <v>6</v>
      </c>
      <c r="B9" s="6" t="s">
        <v>21</v>
      </c>
      <c r="C9" s="6" t="s">
        <v>34</v>
      </c>
      <c r="D9" s="6" t="s">
        <v>27</v>
      </c>
      <c r="E9" s="7" t="s">
        <v>35</v>
      </c>
      <c r="F9" s="7" t="s">
        <v>36</v>
      </c>
      <c r="G9" s="5" t="s">
        <v>15</v>
      </c>
      <c r="H9" s="5" t="s">
        <v>16</v>
      </c>
      <c r="I9" s="6" t="s">
        <v>37</v>
      </c>
    </row>
    <row r="10" spans="1:9" ht="46" customHeight="1" x14ac:dyDescent="0.2">
      <c r="A10" s="2">
        <v>7</v>
      </c>
      <c r="B10" s="3" t="s">
        <v>38</v>
      </c>
      <c r="C10" s="3" t="s">
        <v>38</v>
      </c>
      <c r="D10" s="3" t="s">
        <v>39</v>
      </c>
      <c r="E10" s="4" t="s">
        <v>40</v>
      </c>
      <c r="F10" s="4" t="s">
        <v>41</v>
      </c>
      <c r="G10" s="2" t="s">
        <v>15</v>
      </c>
      <c r="H10" s="2" t="s">
        <v>16</v>
      </c>
      <c r="I10" s="3"/>
    </row>
    <row r="11" spans="1:9" ht="46" customHeight="1" x14ac:dyDescent="0.2">
      <c r="A11" s="5">
        <v>8</v>
      </c>
      <c r="B11" s="6" t="s">
        <v>42</v>
      </c>
      <c r="C11" s="6" t="s">
        <v>43</v>
      </c>
      <c r="D11" s="6" t="s">
        <v>44</v>
      </c>
      <c r="E11" s="7" t="s">
        <v>45</v>
      </c>
      <c r="F11" s="7" t="s">
        <v>46</v>
      </c>
      <c r="G11" s="5" t="s">
        <v>15</v>
      </c>
      <c r="H11" s="5" t="s">
        <v>16</v>
      </c>
      <c r="I11" s="6"/>
    </row>
    <row r="12" spans="1:9" ht="46" customHeight="1" x14ac:dyDescent="0.2">
      <c r="A12" s="2">
        <v>9</v>
      </c>
      <c r="B12" s="3" t="s">
        <v>42</v>
      </c>
      <c r="C12" s="3" t="s">
        <v>47</v>
      </c>
      <c r="D12" s="3" t="s">
        <v>48</v>
      </c>
      <c r="E12" s="4" t="s">
        <v>49</v>
      </c>
      <c r="F12" s="4" t="s">
        <v>50</v>
      </c>
      <c r="G12" s="2" t="s">
        <v>15</v>
      </c>
      <c r="H12" s="2" t="s">
        <v>16</v>
      </c>
      <c r="I12" s="3"/>
    </row>
    <row r="13" spans="1:9" ht="46" customHeight="1" x14ac:dyDescent="0.2">
      <c r="A13" s="5">
        <v>10</v>
      </c>
      <c r="B13" s="6" t="s">
        <v>42</v>
      </c>
      <c r="C13" s="6" t="s">
        <v>51</v>
      </c>
      <c r="D13" s="6" t="s">
        <v>52</v>
      </c>
      <c r="E13" s="7" t="s">
        <v>49</v>
      </c>
      <c r="F13" s="7" t="s">
        <v>53</v>
      </c>
      <c r="G13" s="5" t="s">
        <v>15</v>
      </c>
      <c r="H13" s="5" t="s">
        <v>16</v>
      </c>
      <c r="I13" s="6"/>
    </row>
    <row r="14" spans="1:9" ht="46" customHeight="1" x14ac:dyDescent="0.2">
      <c r="A14" s="14">
        <v>11</v>
      </c>
      <c r="B14" s="15" t="s">
        <v>104</v>
      </c>
      <c r="C14" s="15" t="s">
        <v>108</v>
      </c>
      <c r="D14" s="16" t="s">
        <v>55</v>
      </c>
      <c r="E14" s="17" t="s">
        <v>56</v>
      </c>
      <c r="F14" s="18" t="s">
        <v>57</v>
      </c>
      <c r="G14" s="14" t="s">
        <v>58</v>
      </c>
      <c r="H14" s="14" t="s">
        <v>58</v>
      </c>
      <c r="I14" s="15" t="s">
        <v>106</v>
      </c>
    </row>
    <row r="15" spans="1:9" ht="46" customHeight="1" x14ac:dyDescent="0.2">
      <c r="A15" s="5">
        <v>12</v>
      </c>
      <c r="B15" s="6" t="s">
        <v>59</v>
      </c>
      <c r="C15" s="6" t="s">
        <v>60</v>
      </c>
      <c r="D15" s="6" t="s">
        <v>59</v>
      </c>
      <c r="E15" s="7" t="s">
        <v>61</v>
      </c>
      <c r="F15" s="7" t="s">
        <v>62</v>
      </c>
      <c r="G15" s="5" t="s">
        <v>15</v>
      </c>
      <c r="H15" s="5" t="s">
        <v>16</v>
      </c>
      <c r="I15" s="6" t="s">
        <v>37</v>
      </c>
    </row>
    <row r="16" spans="1:9" ht="46" customHeight="1" x14ac:dyDescent="0.2">
      <c r="A16" s="14">
        <v>13</v>
      </c>
      <c r="B16" s="15" t="s">
        <v>104</v>
      </c>
      <c r="C16" s="16" t="s">
        <v>63</v>
      </c>
      <c r="D16" s="16" t="s">
        <v>64</v>
      </c>
      <c r="E16" s="17" t="s">
        <v>65</v>
      </c>
      <c r="F16" s="17" t="s">
        <v>57</v>
      </c>
      <c r="G16" s="14" t="s">
        <v>58</v>
      </c>
      <c r="H16" s="14" t="s">
        <v>58</v>
      </c>
      <c r="I16" s="15" t="s">
        <v>106</v>
      </c>
    </row>
    <row r="17" spans="1:9" ht="46" customHeight="1" x14ac:dyDescent="0.2">
      <c r="A17" s="5">
        <v>14</v>
      </c>
      <c r="B17" s="6" t="s">
        <v>42</v>
      </c>
      <c r="C17" s="6" t="s">
        <v>67</v>
      </c>
      <c r="D17" s="6" t="s">
        <v>68</v>
      </c>
      <c r="E17" s="7" t="s">
        <v>69</v>
      </c>
      <c r="F17" s="7" t="s">
        <v>70</v>
      </c>
      <c r="G17" s="5" t="s">
        <v>15</v>
      </c>
      <c r="H17" s="5" t="s">
        <v>16</v>
      </c>
      <c r="I17" s="6" t="s">
        <v>71</v>
      </c>
    </row>
    <row r="18" spans="1:9" ht="46" customHeight="1" x14ac:dyDescent="0.2">
      <c r="A18" s="14">
        <v>15</v>
      </c>
      <c r="B18" s="16" t="s">
        <v>54</v>
      </c>
      <c r="C18" s="15" t="s">
        <v>109</v>
      </c>
      <c r="D18" s="16" t="s">
        <v>72</v>
      </c>
      <c r="E18" s="17" t="s">
        <v>65</v>
      </c>
      <c r="F18" s="17" t="s">
        <v>57</v>
      </c>
      <c r="G18" s="14" t="s">
        <v>58</v>
      </c>
      <c r="H18" s="14" t="s">
        <v>58</v>
      </c>
      <c r="I18" s="15" t="s">
        <v>106</v>
      </c>
    </row>
    <row r="19" spans="1:9" ht="46" customHeight="1" x14ac:dyDescent="0.2">
      <c r="A19" s="5">
        <v>16</v>
      </c>
      <c r="B19" s="6" t="s">
        <v>42</v>
      </c>
      <c r="C19" s="6" t="s">
        <v>73</v>
      </c>
      <c r="D19" s="6" t="s">
        <v>74</v>
      </c>
      <c r="E19" s="7" t="s">
        <v>49</v>
      </c>
      <c r="F19" s="7" t="s">
        <v>75</v>
      </c>
      <c r="G19" s="5" t="s">
        <v>15</v>
      </c>
      <c r="H19" s="5" t="s">
        <v>16</v>
      </c>
      <c r="I19" s="6"/>
    </row>
    <row r="20" spans="1:9" ht="46" customHeight="1" x14ac:dyDescent="0.2">
      <c r="A20" s="14">
        <v>17</v>
      </c>
      <c r="B20" s="16" t="s">
        <v>42</v>
      </c>
      <c r="C20" s="15" t="s">
        <v>110</v>
      </c>
      <c r="D20" s="16" t="s">
        <v>76</v>
      </c>
      <c r="E20" s="17" t="s">
        <v>77</v>
      </c>
      <c r="F20" s="17" t="s">
        <v>78</v>
      </c>
      <c r="G20" s="14" t="s">
        <v>58</v>
      </c>
      <c r="H20" s="14" t="s">
        <v>58</v>
      </c>
      <c r="I20" s="15" t="s">
        <v>106</v>
      </c>
    </row>
    <row r="21" spans="1:9" ht="46" customHeight="1" x14ac:dyDescent="0.2">
      <c r="A21" s="5">
        <v>18</v>
      </c>
      <c r="B21" s="6" t="s">
        <v>42</v>
      </c>
      <c r="C21" s="6" t="s">
        <v>79</v>
      </c>
      <c r="D21" s="6" t="s">
        <v>80</v>
      </c>
      <c r="E21" s="7" t="s">
        <v>49</v>
      </c>
      <c r="F21" s="7" t="s">
        <v>81</v>
      </c>
      <c r="G21" s="5" t="s">
        <v>15</v>
      </c>
      <c r="H21" s="5" t="s">
        <v>16</v>
      </c>
      <c r="I21" s="6"/>
    </row>
    <row r="22" spans="1:9" ht="46" customHeight="1" x14ac:dyDescent="0.2">
      <c r="A22" s="2">
        <v>19</v>
      </c>
      <c r="B22" s="3" t="s">
        <v>21</v>
      </c>
      <c r="C22" s="3" t="s">
        <v>82</v>
      </c>
      <c r="D22" s="3" t="s">
        <v>27</v>
      </c>
      <c r="E22" s="4" t="s">
        <v>83</v>
      </c>
      <c r="F22" s="4" t="s">
        <v>84</v>
      </c>
      <c r="G22" s="2" t="s">
        <v>15</v>
      </c>
      <c r="H22" s="2" t="s">
        <v>16</v>
      </c>
      <c r="I22" s="3"/>
    </row>
    <row r="23" spans="1:9" ht="46" customHeight="1" x14ac:dyDescent="0.2">
      <c r="A23" s="5">
        <v>20</v>
      </c>
      <c r="B23" s="6" t="s">
        <v>10</v>
      </c>
      <c r="C23" s="6" t="s">
        <v>85</v>
      </c>
      <c r="D23" s="6" t="s">
        <v>86</v>
      </c>
      <c r="E23" s="7" t="s">
        <v>87</v>
      </c>
      <c r="F23" s="7" t="s">
        <v>88</v>
      </c>
      <c r="G23" s="5" t="s">
        <v>15</v>
      </c>
      <c r="H23" s="5" t="s">
        <v>16</v>
      </c>
      <c r="I23" s="6" t="s">
        <v>89</v>
      </c>
    </row>
    <row r="24" spans="1:9" ht="46" customHeight="1" x14ac:dyDescent="0.2">
      <c r="A24" s="19">
        <v>21</v>
      </c>
      <c r="B24" s="20" t="s">
        <v>59</v>
      </c>
      <c r="C24" s="20" t="s">
        <v>90</v>
      </c>
      <c r="D24" s="20" t="s">
        <v>91</v>
      </c>
      <c r="E24" s="22" t="s">
        <v>105</v>
      </c>
      <c r="F24" s="21" t="s">
        <v>88</v>
      </c>
      <c r="G24" s="19" t="s">
        <v>66</v>
      </c>
      <c r="H24" s="19" t="s">
        <v>66</v>
      </c>
      <c r="I24" s="23" t="s">
        <v>107</v>
      </c>
    </row>
    <row r="25" spans="1:9" ht="46" customHeight="1" x14ac:dyDescent="0.2">
      <c r="A25" s="19">
        <v>22</v>
      </c>
      <c r="B25" s="20" t="s">
        <v>59</v>
      </c>
      <c r="C25" s="20" t="s">
        <v>92</v>
      </c>
      <c r="D25" s="20" t="s">
        <v>59</v>
      </c>
      <c r="E25" s="22" t="s">
        <v>105</v>
      </c>
      <c r="F25" s="21" t="s">
        <v>88</v>
      </c>
      <c r="G25" s="19" t="s">
        <v>66</v>
      </c>
      <c r="H25" s="19" t="s">
        <v>66</v>
      </c>
      <c r="I25" s="23" t="s">
        <v>107</v>
      </c>
    </row>
    <row r="26" spans="1:9" ht="78" customHeight="1" x14ac:dyDescent="0.2">
      <c r="A26" s="2">
        <v>23</v>
      </c>
      <c r="B26" s="3" t="s">
        <v>93</v>
      </c>
      <c r="C26" s="3" t="s">
        <v>94</v>
      </c>
      <c r="D26" s="3" t="s">
        <v>95</v>
      </c>
      <c r="E26" s="4" t="s">
        <v>96</v>
      </c>
      <c r="F26" s="4" t="s">
        <v>97</v>
      </c>
      <c r="G26" s="2" t="s">
        <v>15</v>
      </c>
      <c r="H26" s="2" t="s">
        <v>16</v>
      </c>
      <c r="I26" s="3" t="s">
        <v>98</v>
      </c>
    </row>
    <row r="28" spans="1:9" x14ac:dyDescent="0.2">
      <c r="B28" s="8" t="s">
        <v>99</v>
      </c>
      <c r="F28" s="9" t="s">
        <v>100</v>
      </c>
      <c r="G28" s="10">
        <f>COUNTIF(G4:G26,"✅ Hecho")</f>
        <v>17</v>
      </c>
    </row>
    <row r="29" spans="1:9" x14ac:dyDescent="0.2">
      <c r="F29" s="9" t="s">
        <v>101</v>
      </c>
      <c r="G29" s="10">
        <f>COUNTIF(H4:H26,"✅ Hecho")</f>
        <v>0</v>
      </c>
    </row>
    <row r="30" spans="1:9" x14ac:dyDescent="0.2">
      <c r="F30" s="9" t="s">
        <v>102</v>
      </c>
      <c r="G30" s="10">
        <v>23</v>
      </c>
    </row>
  </sheetData>
  <autoFilter ref="A3:I26" xr:uid="{00000000-0009-0000-0000-000000000000}"/>
  <mergeCells count="2">
    <mergeCell ref="A1:I1"/>
    <mergeCell ref="A2:I2"/>
  </mergeCells>
  <conditionalFormatting sqref="G4:H26">
    <cfRule type="cellIs" dxfId="4" priority="1" operator="equal">
      <formula>"✅ Hecho"</formula>
    </cfRule>
    <cfRule type="cellIs" dxfId="3" priority="2" operator="equal">
      <formula>"☐ Pendiente"</formula>
    </cfRule>
    <cfRule type="cellIs" dxfId="2" priority="3" operator="equal">
      <formula>"⏳ En curso"</formula>
    </cfRule>
    <cfRule type="cellIs" dxfId="1" priority="4" operator="equal">
      <formula>"— N/A"</formula>
    </cfRule>
    <cfRule type="cellIs" dxfId="0" priority="5" operator="equal">
      <formula>"❓ Revisar"</formula>
    </cfRule>
  </conditionalFormatting>
  <dataValidations count="1">
    <dataValidation type="list" allowBlank="1" sqref="G4:H26" xr:uid="{00000000-0002-0000-0000-000000000000}">
      <formula1>"✅ Hecho,☐ Pendiente,⏳ En curso,— N/A,❓ Revisar"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Paneles de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Beatriz Real Herrador</cp:lastModifiedBy>
  <dcterms:created xsi:type="dcterms:W3CDTF">2026-09-01T06:50:57Z</dcterms:created>
  <dcterms:modified xsi:type="dcterms:W3CDTF">2026-09-07T07:16:34Z</dcterms:modified>
</cp:coreProperties>
</file>