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eatriz.real/Desktop/Campus-redesign/"/>
    </mc:Choice>
  </mc:AlternateContent>
  <xr:revisionPtr revIDLastSave="0" documentId="13_ncr:1_{879614D9-1847-0147-A561-FA055F798297}" xr6:coauthVersionLast="47" xr6:coauthVersionMax="47" xr10:uidLastSave="{00000000-0000-0000-0000-000000000000}"/>
  <bookViews>
    <workbookView xWindow="-3800" yWindow="-21000" windowWidth="38400" windowHeight="21000" xr2:uid="{00000000-000D-0000-FFFF-FFFF00000000}"/>
  </bookViews>
  <sheets>
    <sheet name="Tablero migración" sheetId="1" r:id="rId1"/>
    <sheet name="Reparto y tiempos" sheetId="2" r:id="rId2"/>
  </sheets>
  <definedNames>
    <definedName name="_xlnm._FilterDatabase" localSheetId="0" hidden="1">'Tablero migración'!$A$3:$I$36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D9" i="2" s="1"/>
  <c r="C8" i="2"/>
  <c r="B8" i="2"/>
  <c r="D8" i="2" s="1"/>
  <c r="C7" i="2"/>
  <c r="B7" i="2"/>
  <c r="D7" i="2" s="1"/>
  <c r="C6" i="2"/>
  <c r="B6" i="2"/>
  <c r="D6" i="2" s="1"/>
  <c r="D5" i="2"/>
  <c r="C5" i="2"/>
  <c r="B5" i="2"/>
  <c r="C4" i="2"/>
  <c r="B4" i="2"/>
  <c r="D4" i="2" s="1"/>
  <c r="F41" i="1"/>
  <c r="F40" i="1"/>
  <c r="F39" i="1"/>
  <c r="F38" i="1"/>
</calcChain>
</file>

<file path=xl/sharedStrings.xml><?xml version="1.0" encoding="utf-8"?>
<sst xmlns="http://schemas.openxmlformats.org/spreadsheetml/2006/main" count="208" uniqueCount="89">
  <si>
    <t>Tablero de migración — Rebranding IVI Institute Education</t>
  </si>
  <si>
    <t>Canales: A=CSS CDN · B=JS CDN · C=Additional HTML · D=bloques por página · D'=plantillas BD.   Estado: ☐ Pendiente · ⏳ En curso · ✅ Hecho · ⚠️ Incidencia · — N/A · ❓ Revisar.   Rellena «Tiempo real» durante el ensayo en PRE-2.</t>
  </si>
  <si>
    <t>Nº</t>
  </si>
  <si>
    <t>Fase</t>
  </si>
  <si>
    <t>Canal</t>
  </si>
  <si>
    <t>Tarea / Panel</t>
  </si>
  <si>
    <t>Responsable (lote)</t>
  </si>
  <si>
    <t>Tiempo est. (min)</t>
  </si>
  <si>
    <t>Tiempo real (min)</t>
  </si>
  <si>
    <t>Estado</t>
  </si>
  <si>
    <t>Incidencias / Notas</t>
  </si>
  <si>
    <t>0. Preparación</t>
  </si>
  <si>
    <t>—</t>
  </si>
  <si>
    <t>Clonar / confirmar PRE-2 como copia de PRE</t>
  </si>
  <si>
    <t>Coordinación</t>
  </si>
  <si>
    <t>☐ Pendiente</t>
  </si>
  <si>
    <t>Congelar código (rama estable)</t>
  </si>
  <si>
    <t>A/B</t>
  </si>
  <si>
    <t>Crear tag de versión de assets (CSS + footer.js)</t>
  </si>
  <si>
    <t>1. Bloques</t>
  </si>
  <si>
    <t>D</t>
  </si>
  <si>
    <t>1 · Formación General con LFE (Home)</t>
  </si>
  <si>
    <t>P1 · Home &amp; Formación</t>
  </si>
  <si>
    <t>2 · Externos</t>
  </si>
  <si>
    <t>20 · OneTech Training (por confirmar)</t>
  </si>
  <si>
    <t>23 · PNTs</t>
  </si>
  <si>
    <t>3 · Formación Learning for Excellence</t>
  </si>
  <si>
    <t>P2 · LFE</t>
  </si>
  <si>
    <t>4 · Visor de Puntos LFE</t>
  </si>
  <si>
    <t>5 · Monthly Seminars</t>
  </si>
  <si>
    <t>6 · Must Read Papers (por confirmar)</t>
  </si>
  <si>
    <t>19 · Visor de Puntos LFE 2025</t>
  </si>
  <si>
    <t>8 · Panel Admin_North Europe</t>
  </si>
  <si>
    <t>P3 · Admin</t>
  </si>
  <si>
    <t>9 · Panel Admin_North America</t>
  </si>
  <si>
    <t>10 · Panel Admin_Italy</t>
  </si>
  <si>
    <t>14 · Mi panel como Manager</t>
  </si>
  <si>
    <t>16 · Panel Admin _Latam</t>
  </si>
  <si>
    <t>17 · Panel Admin Global (+ report_manager)</t>
  </si>
  <si>
    <t>18 · Panel admin_meast</t>
  </si>
  <si>
    <t>Reasubir imágenes teal (paneles admin)</t>
  </si>
  <si>
    <t>7 · Expediente</t>
  </si>
  <si>
    <t>P4 · Expediente &amp; IMR</t>
  </si>
  <si>
    <t>D'</t>
  </si>
  <si>
    <t>7 · Plantillas CSS/JS de la BD de certificados</t>
  </si>
  <si>
    <t>12 · IMR (tenant, CSS propio, por confirmar)</t>
  </si>
  <si>
    <t>21 · Expediente IMR (por confirmar)</t>
  </si>
  <si>
    <t>22 · [Admin tenant] IMR (por confirmar)</t>
  </si>
  <si>
    <t>2. Global (cutover)</t>
  </si>
  <si>
    <t>C</t>
  </si>
  <si>
    <t>Pegar additional-html-head + scripts de expediente</t>
  </si>
  <si>
    <t>A</t>
  </si>
  <si>
    <t>Publicar CSS en tag + apuntar URL</t>
  </si>
  <si>
    <t>B</t>
  </si>
  <si>
    <t>Publicar footer.js en tag + apuntar URL</t>
  </si>
  <si>
    <t>Purga jsDelivr + esperar propagación</t>
  </si>
  <si>
    <t>3. Verificación</t>
  </si>
  <si>
    <t>Smoke test cruzado (23 paneles + responsive)</t>
  </si>
  <si>
    <t>Todos</t>
  </si>
  <si>
    <t>Excluidos / revisar</t>
  </si>
  <si>
    <t>11 · Iberia-latam (no se usa)</t>
  </si>
  <si>
    <t>— N/A</t>
  </si>
  <si>
    <t>13 · Juno Academy (revisar)</t>
  </si>
  <si>
    <t>❓ Revisar</t>
  </si>
  <si>
    <t>15 · … Status (revisar)</t>
  </si>
  <si>
    <t>TOTALES</t>
  </si>
  <si>
    <t>Suma est. (min):</t>
  </si>
  <si>
    <t>Suma real (min):</t>
  </si>
  <si>
    <t>Est. en horas:</t>
  </si>
  <si>
    <t>Tareas hechas:</t>
  </si>
  <si>
    <t>Reparto por persona y escenarios de tiempo</t>
  </si>
  <si>
    <t>Responsable / lote</t>
  </si>
  <si>
    <t>Est. (h)</t>
  </si>
  <si>
    <t>Escenarios de tiempo (calendario)</t>
  </si>
  <si>
    <t>1 persona (todo en serie)</t>
  </si>
  <si>
    <t>~1,5–2 jornadas (≈ 10–12 h efectivas)</t>
  </si>
  <si>
    <t>Equipo de 3 (bloques en paralelo, global en serie)</t>
  </si>
  <si>
    <t>~medio día (≈ 4 h)</t>
  </si>
  <si>
    <t>Equipo de 4</t>
  </si>
  <si>
    <t>~3–3,5 h</t>
  </si>
  <si>
    <t>Límite inferior (pasos globales + purga + smoke)</t>
  </si>
  <si>
    <t>~1–1,5 h — no se paraleliza</t>
  </si>
  <si>
    <t>Parada del campus (downtime)</t>
  </si>
  <si>
    <t>Estrategia recomendada (staging + cutover)</t>
  </si>
  <si>
    <t>Ventana de ~30–45 min en horario valle (solo cutover global + purga + smoke)</t>
  </si>
  <si>
    <t>Estrategia CSS primero</t>
  </si>
  <si>
    <t>Sin parada dura, pero ~1,5–2 h de estado visualmente mixto</t>
  </si>
  <si>
    <t>Máxima prudencia</t>
  </si>
  <si>
    <t>Banner de mantenimiento ~45–60 min, de noche / 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</si>
</sst>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333333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rgb="FF1B1F5C"/>
      <name val="Calibri"/>
      <family val="2"/>
    </font>
    <font>
      <b/>
      <sz val="11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1B1F5C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E0B3B"/>
      </patternFill>
    </fill>
    <fill>
      <patternFill patternType="solid">
        <fgColor rgb="FFEEF1F8"/>
      </patternFill>
    </fill>
    <fill>
      <patternFill patternType="solid">
        <fgColor rgb="FF1B1F5C"/>
      </patternFill>
    </fill>
    <fill>
      <patternFill patternType="solid">
        <fgColor rgb="FFF6F8FC"/>
      </patternFill>
    </fill>
  </fills>
  <borders count="2">
    <border>
      <left/>
      <right/>
      <top/>
      <bottom/>
      <diagonal/>
    </border>
    <border>
      <left style="thin">
        <color rgb="FFD0D4E4"/>
      </left>
      <right style="thin">
        <color rgb="FFD0D4E4"/>
      </right>
      <top style="thin">
        <color rgb="FFD0D4E4"/>
      </top>
      <bottom style="thin">
        <color rgb="FFD0D4E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9" fillId="0" borderId="0" xfId="0" applyFont="1"/>
    <xf numFmtId="0" fontId="4" fillId="0" borderId="0" xfId="0" applyFont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10" fillId="0" borderId="0" xfId="0" applyFont="1"/>
  </cellXfs>
  <cellStyles count="1">
    <cellStyle name="Normal" xfId="0" builtinId="0"/>
  </cellStyles>
  <dxfs count="6">
    <dxf>
      <fill>
        <patternFill patternType="solid">
          <fgColor rgb="FFFFF2CC"/>
        </patternFill>
      </fill>
    </dxf>
    <dxf>
      <fill>
        <patternFill patternType="solid">
          <fgColor rgb="FFE8E8E8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pane ySplit="3" topLeftCell="A4" activePane="bottomLeft" state="frozen"/>
      <selection pane="bottomLeft" sqref="A1:I1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8" customWidth="1"/>
    <col min="4" max="4" width="46" customWidth="1"/>
    <col min="5" max="5" width="24" customWidth="1"/>
    <col min="6" max="7" width="15" customWidth="1"/>
    <col min="8" max="8" width="16" customWidth="1"/>
    <col min="9" max="9" width="30" customWidth="1"/>
  </cols>
  <sheetData>
    <row r="1" spans="1:9" ht="30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ht="22" customHeight="1" x14ac:dyDescent="0.2">
      <c r="A2" s="19" t="s">
        <v>1</v>
      </c>
      <c r="B2" s="18"/>
      <c r="C2" s="18"/>
      <c r="D2" s="18"/>
      <c r="E2" s="18"/>
      <c r="F2" s="18"/>
      <c r="G2" s="18"/>
      <c r="H2" s="18"/>
      <c r="I2" s="18"/>
    </row>
    <row r="3" spans="1:9" ht="3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6" customHeight="1" x14ac:dyDescent="0.2">
      <c r="A4" s="2">
        <v>1</v>
      </c>
      <c r="B4" s="3" t="s">
        <v>11</v>
      </c>
      <c r="C4" s="2" t="s">
        <v>12</v>
      </c>
      <c r="D4" s="4" t="s">
        <v>13</v>
      </c>
      <c r="E4" s="3" t="s">
        <v>14</v>
      </c>
      <c r="F4" s="2">
        <v>30</v>
      </c>
      <c r="G4" s="2"/>
      <c r="H4" s="2" t="s">
        <v>15</v>
      </c>
      <c r="I4" s="3"/>
    </row>
    <row r="5" spans="1:9" ht="26" customHeight="1" x14ac:dyDescent="0.2">
      <c r="A5" s="5">
        <v>2</v>
      </c>
      <c r="B5" s="6" t="s">
        <v>11</v>
      </c>
      <c r="C5" s="5" t="s">
        <v>12</v>
      </c>
      <c r="D5" s="7" t="s">
        <v>16</v>
      </c>
      <c r="E5" s="6" t="s">
        <v>14</v>
      </c>
      <c r="F5" s="5">
        <v>15</v>
      </c>
      <c r="G5" s="5"/>
      <c r="H5" s="5" t="s">
        <v>15</v>
      </c>
      <c r="I5" s="6"/>
    </row>
    <row r="6" spans="1:9" ht="26" customHeight="1" x14ac:dyDescent="0.2">
      <c r="A6" s="2">
        <v>3</v>
      </c>
      <c r="B6" s="3" t="s">
        <v>11</v>
      </c>
      <c r="C6" s="2" t="s">
        <v>17</v>
      </c>
      <c r="D6" s="4" t="s">
        <v>18</v>
      </c>
      <c r="E6" s="3" t="s">
        <v>14</v>
      </c>
      <c r="F6" s="2">
        <v>15</v>
      </c>
      <c r="G6" s="2"/>
      <c r="H6" s="2" t="s">
        <v>15</v>
      </c>
      <c r="I6" s="3"/>
    </row>
    <row r="7" spans="1:9" ht="26" customHeight="1" x14ac:dyDescent="0.2">
      <c r="A7" s="5">
        <v>4</v>
      </c>
      <c r="B7" s="6" t="s">
        <v>19</v>
      </c>
      <c r="C7" s="5" t="s">
        <v>20</v>
      </c>
      <c r="D7" s="7" t="s">
        <v>21</v>
      </c>
      <c r="E7" s="6" t="s">
        <v>22</v>
      </c>
      <c r="F7" s="5">
        <v>45</v>
      </c>
      <c r="G7" s="5"/>
      <c r="H7" s="5" t="s">
        <v>15</v>
      </c>
      <c r="I7" s="6"/>
    </row>
    <row r="8" spans="1:9" ht="26" customHeight="1" x14ac:dyDescent="0.2">
      <c r="A8" s="2">
        <v>5</v>
      </c>
      <c r="B8" s="3" t="s">
        <v>19</v>
      </c>
      <c r="C8" s="2" t="s">
        <v>20</v>
      </c>
      <c r="D8" s="4" t="s">
        <v>23</v>
      </c>
      <c r="E8" s="3" t="s">
        <v>22</v>
      </c>
      <c r="F8" s="2">
        <v>18</v>
      </c>
      <c r="G8" s="2"/>
      <c r="H8" s="2" t="s">
        <v>15</v>
      </c>
      <c r="I8" s="3"/>
    </row>
    <row r="9" spans="1:9" ht="26" customHeight="1" x14ac:dyDescent="0.2">
      <c r="A9" s="5">
        <v>6</v>
      </c>
      <c r="B9" s="6" t="s">
        <v>19</v>
      </c>
      <c r="C9" s="5" t="s">
        <v>20</v>
      </c>
      <c r="D9" s="7" t="s">
        <v>24</v>
      </c>
      <c r="E9" s="6" t="s">
        <v>22</v>
      </c>
      <c r="F9" s="5">
        <v>13</v>
      </c>
      <c r="G9" s="5"/>
      <c r="H9" s="5" t="s">
        <v>15</v>
      </c>
      <c r="I9" s="6"/>
    </row>
    <row r="10" spans="1:9" ht="26" customHeight="1" x14ac:dyDescent="0.2">
      <c r="A10" s="2">
        <v>7</v>
      </c>
      <c r="B10" s="3" t="s">
        <v>19</v>
      </c>
      <c r="C10" s="2" t="s">
        <v>20</v>
      </c>
      <c r="D10" s="4" t="s">
        <v>25</v>
      </c>
      <c r="E10" s="3" t="s">
        <v>22</v>
      </c>
      <c r="F10" s="2">
        <v>13</v>
      </c>
      <c r="G10" s="2"/>
      <c r="H10" s="2" t="s">
        <v>15</v>
      </c>
      <c r="I10" s="3"/>
    </row>
    <row r="11" spans="1:9" ht="26" customHeight="1" x14ac:dyDescent="0.2">
      <c r="A11" s="5">
        <v>8</v>
      </c>
      <c r="B11" s="6" t="s">
        <v>19</v>
      </c>
      <c r="C11" s="5" t="s">
        <v>20</v>
      </c>
      <c r="D11" s="7" t="s">
        <v>26</v>
      </c>
      <c r="E11" s="6" t="s">
        <v>27</v>
      </c>
      <c r="F11" s="5">
        <v>32</v>
      </c>
      <c r="G11" s="5"/>
      <c r="H11" s="5" t="s">
        <v>15</v>
      </c>
      <c r="I11" s="6"/>
    </row>
    <row r="12" spans="1:9" ht="26" customHeight="1" x14ac:dyDescent="0.2">
      <c r="A12" s="2">
        <v>9</v>
      </c>
      <c r="B12" s="3" t="s">
        <v>19</v>
      </c>
      <c r="C12" s="2" t="s">
        <v>20</v>
      </c>
      <c r="D12" s="4" t="s">
        <v>28</v>
      </c>
      <c r="E12" s="3" t="s">
        <v>27</v>
      </c>
      <c r="F12" s="2">
        <v>12</v>
      </c>
      <c r="G12" s="2"/>
      <c r="H12" s="2" t="s">
        <v>15</v>
      </c>
      <c r="I12" s="3"/>
    </row>
    <row r="13" spans="1:9" ht="26" customHeight="1" x14ac:dyDescent="0.2">
      <c r="A13" s="5">
        <v>10</v>
      </c>
      <c r="B13" s="6" t="s">
        <v>19</v>
      </c>
      <c r="C13" s="5" t="s">
        <v>20</v>
      </c>
      <c r="D13" s="7" t="s">
        <v>29</v>
      </c>
      <c r="E13" s="6" t="s">
        <v>27</v>
      </c>
      <c r="F13" s="5">
        <v>27</v>
      </c>
      <c r="G13" s="5"/>
      <c r="H13" s="5" t="s">
        <v>15</v>
      </c>
      <c r="I13" s="6"/>
    </row>
    <row r="14" spans="1:9" ht="26" customHeight="1" x14ac:dyDescent="0.2">
      <c r="A14" s="2">
        <v>11</v>
      </c>
      <c r="B14" s="3" t="s">
        <v>19</v>
      </c>
      <c r="C14" s="2" t="s">
        <v>20</v>
      </c>
      <c r="D14" s="4" t="s">
        <v>30</v>
      </c>
      <c r="E14" s="3" t="s">
        <v>27</v>
      </c>
      <c r="F14" s="2">
        <v>12</v>
      </c>
      <c r="G14" s="2"/>
      <c r="H14" s="2" t="s">
        <v>15</v>
      </c>
      <c r="I14" s="3"/>
    </row>
    <row r="15" spans="1:9" ht="26" customHeight="1" x14ac:dyDescent="0.2">
      <c r="A15" s="5">
        <v>12</v>
      </c>
      <c r="B15" s="6" t="s">
        <v>19</v>
      </c>
      <c r="C15" s="5" t="s">
        <v>20</v>
      </c>
      <c r="D15" s="7" t="s">
        <v>31</v>
      </c>
      <c r="E15" s="6" t="s">
        <v>27</v>
      </c>
      <c r="F15" s="5">
        <v>9</v>
      </c>
      <c r="G15" s="5"/>
      <c r="H15" s="5" t="s">
        <v>15</v>
      </c>
      <c r="I15" s="6"/>
    </row>
    <row r="16" spans="1:9" ht="26" customHeight="1" x14ac:dyDescent="0.2">
      <c r="A16" s="2">
        <v>13</v>
      </c>
      <c r="B16" s="3" t="s">
        <v>19</v>
      </c>
      <c r="C16" s="2" t="s">
        <v>20</v>
      </c>
      <c r="D16" s="4" t="s">
        <v>32</v>
      </c>
      <c r="E16" s="3" t="s">
        <v>33</v>
      </c>
      <c r="F16" s="2">
        <v>13</v>
      </c>
      <c r="G16" s="2"/>
      <c r="H16" s="2" t="s">
        <v>15</v>
      </c>
      <c r="I16" s="3"/>
    </row>
    <row r="17" spans="1:9" ht="26" customHeight="1" x14ac:dyDescent="0.2">
      <c r="A17" s="5">
        <v>14</v>
      </c>
      <c r="B17" s="6" t="s">
        <v>19</v>
      </c>
      <c r="C17" s="5" t="s">
        <v>20</v>
      </c>
      <c r="D17" s="7" t="s">
        <v>34</v>
      </c>
      <c r="E17" s="6" t="s">
        <v>33</v>
      </c>
      <c r="F17" s="5">
        <v>13</v>
      </c>
      <c r="G17" s="5"/>
      <c r="H17" s="5" t="s">
        <v>15</v>
      </c>
      <c r="I17" s="6"/>
    </row>
    <row r="18" spans="1:9" ht="26" customHeight="1" x14ac:dyDescent="0.2">
      <c r="A18" s="2">
        <v>15</v>
      </c>
      <c r="B18" s="3" t="s">
        <v>19</v>
      </c>
      <c r="C18" s="2" t="s">
        <v>20</v>
      </c>
      <c r="D18" s="4" t="s">
        <v>35</v>
      </c>
      <c r="E18" s="3" t="s">
        <v>33</v>
      </c>
      <c r="F18" s="2">
        <v>13</v>
      </c>
      <c r="G18" s="2"/>
      <c r="H18" s="2" t="s">
        <v>15</v>
      </c>
      <c r="I18" s="3"/>
    </row>
    <row r="19" spans="1:9" ht="26" customHeight="1" x14ac:dyDescent="0.2">
      <c r="A19" s="5">
        <v>16</v>
      </c>
      <c r="B19" s="6" t="s">
        <v>19</v>
      </c>
      <c r="C19" s="5" t="s">
        <v>20</v>
      </c>
      <c r="D19" s="7" t="s">
        <v>36</v>
      </c>
      <c r="E19" s="6" t="s">
        <v>33</v>
      </c>
      <c r="F19" s="5">
        <v>13</v>
      </c>
      <c r="G19" s="5"/>
      <c r="H19" s="5" t="s">
        <v>15</v>
      </c>
      <c r="I19" s="6"/>
    </row>
    <row r="20" spans="1:9" ht="26" customHeight="1" x14ac:dyDescent="0.2">
      <c r="A20" s="2">
        <v>17</v>
      </c>
      <c r="B20" s="3" t="s">
        <v>19</v>
      </c>
      <c r="C20" s="2" t="s">
        <v>20</v>
      </c>
      <c r="D20" s="4" t="s">
        <v>37</v>
      </c>
      <c r="E20" s="3" t="s">
        <v>33</v>
      </c>
      <c r="F20" s="2">
        <v>13</v>
      </c>
      <c r="G20" s="2"/>
      <c r="H20" s="2" t="s">
        <v>15</v>
      </c>
      <c r="I20" s="3"/>
    </row>
    <row r="21" spans="1:9" ht="26" customHeight="1" x14ac:dyDescent="0.2">
      <c r="A21" s="5">
        <v>18</v>
      </c>
      <c r="B21" s="6" t="s">
        <v>19</v>
      </c>
      <c r="C21" s="5" t="s">
        <v>20</v>
      </c>
      <c r="D21" s="7" t="s">
        <v>38</v>
      </c>
      <c r="E21" s="6" t="s">
        <v>33</v>
      </c>
      <c r="F21" s="5">
        <v>22</v>
      </c>
      <c r="G21" s="5"/>
      <c r="H21" s="5" t="s">
        <v>15</v>
      </c>
      <c r="I21" s="6"/>
    </row>
    <row r="22" spans="1:9" ht="26" customHeight="1" x14ac:dyDescent="0.2">
      <c r="A22" s="2">
        <v>19</v>
      </c>
      <c r="B22" s="3" t="s">
        <v>19</v>
      </c>
      <c r="C22" s="2" t="s">
        <v>20</v>
      </c>
      <c r="D22" s="4" t="s">
        <v>39</v>
      </c>
      <c r="E22" s="3" t="s">
        <v>33</v>
      </c>
      <c r="F22" s="2">
        <v>13</v>
      </c>
      <c r="G22" s="2"/>
      <c r="H22" s="2" t="s">
        <v>15</v>
      </c>
      <c r="I22" s="3"/>
    </row>
    <row r="23" spans="1:9" ht="26" customHeight="1" x14ac:dyDescent="0.2">
      <c r="A23" s="5">
        <v>20</v>
      </c>
      <c r="B23" s="6" t="s">
        <v>19</v>
      </c>
      <c r="C23" s="5" t="s">
        <v>20</v>
      </c>
      <c r="D23" s="7" t="s">
        <v>40</v>
      </c>
      <c r="E23" s="6" t="s">
        <v>33</v>
      </c>
      <c r="F23" s="5">
        <v>18</v>
      </c>
      <c r="G23" s="5"/>
      <c r="H23" s="5" t="s">
        <v>15</v>
      </c>
      <c r="I23" s="6"/>
    </row>
    <row r="24" spans="1:9" ht="26" customHeight="1" x14ac:dyDescent="0.2">
      <c r="A24" s="2">
        <v>21</v>
      </c>
      <c r="B24" s="3" t="s">
        <v>19</v>
      </c>
      <c r="C24" s="2" t="s">
        <v>20</v>
      </c>
      <c r="D24" s="4" t="s">
        <v>41</v>
      </c>
      <c r="E24" s="3" t="s">
        <v>42</v>
      </c>
      <c r="F24" s="2">
        <v>35</v>
      </c>
      <c r="G24" s="2"/>
      <c r="H24" s="2" t="s">
        <v>15</v>
      </c>
      <c r="I24" s="3"/>
    </row>
    <row r="25" spans="1:9" ht="26" customHeight="1" x14ac:dyDescent="0.2">
      <c r="A25" s="5">
        <v>22</v>
      </c>
      <c r="B25" s="6" t="s">
        <v>19</v>
      </c>
      <c r="C25" s="5" t="s">
        <v>43</v>
      </c>
      <c r="D25" s="7" t="s">
        <v>44</v>
      </c>
      <c r="E25" s="6" t="s">
        <v>42</v>
      </c>
      <c r="F25" s="5">
        <v>15</v>
      </c>
      <c r="G25" s="5"/>
      <c r="H25" s="5" t="s">
        <v>15</v>
      </c>
      <c r="I25" s="6"/>
    </row>
    <row r="26" spans="1:9" ht="26" customHeight="1" x14ac:dyDescent="0.2">
      <c r="A26" s="2">
        <v>23</v>
      </c>
      <c r="B26" s="3" t="s">
        <v>19</v>
      </c>
      <c r="C26" s="2" t="s">
        <v>20</v>
      </c>
      <c r="D26" s="4" t="s">
        <v>45</v>
      </c>
      <c r="E26" s="3" t="s">
        <v>42</v>
      </c>
      <c r="F26" s="2">
        <v>27</v>
      </c>
      <c r="G26" s="2"/>
      <c r="H26" s="2" t="s">
        <v>15</v>
      </c>
      <c r="I26" s="3"/>
    </row>
    <row r="27" spans="1:9" ht="26" customHeight="1" x14ac:dyDescent="0.2">
      <c r="A27" s="5">
        <v>24</v>
      </c>
      <c r="B27" s="6" t="s">
        <v>19</v>
      </c>
      <c r="C27" s="5" t="s">
        <v>20</v>
      </c>
      <c r="D27" s="7" t="s">
        <v>46</v>
      </c>
      <c r="E27" s="6" t="s">
        <v>42</v>
      </c>
      <c r="F27" s="5">
        <v>12</v>
      </c>
      <c r="G27" s="5"/>
      <c r="H27" s="5" t="s">
        <v>15</v>
      </c>
      <c r="I27" s="6"/>
    </row>
    <row r="28" spans="1:9" ht="26" customHeight="1" x14ac:dyDescent="0.2">
      <c r="A28" s="2">
        <v>25</v>
      </c>
      <c r="B28" s="3" t="s">
        <v>19</v>
      </c>
      <c r="C28" s="2" t="s">
        <v>20</v>
      </c>
      <c r="D28" s="4" t="s">
        <v>47</v>
      </c>
      <c r="E28" s="3" t="s">
        <v>42</v>
      </c>
      <c r="F28" s="2">
        <v>12</v>
      </c>
      <c r="G28" s="2"/>
      <c r="H28" s="2" t="s">
        <v>15</v>
      </c>
      <c r="I28" s="3"/>
    </row>
    <row r="29" spans="1:9" ht="26" customHeight="1" x14ac:dyDescent="0.2">
      <c r="A29" s="5">
        <v>26</v>
      </c>
      <c r="B29" s="6" t="s">
        <v>48</v>
      </c>
      <c r="C29" s="5" t="s">
        <v>49</v>
      </c>
      <c r="D29" s="7" t="s">
        <v>50</v>
      </c>
      <c r="E29" s="6" t="s">
        <v>14</v>
      </c>
      <c r="F29" s="5">
        <v>10</v>
      </c>
      <c r="G29" s="5"/>
      <c r="H29" s="5" t="s">
        <v>15</v>
      </c>
      <c r="I29" s="6"/>
    </row>
    <row r="30" spans="1:9" ht="26" customHeight="1" x14ac:dyDescent="0.2">
      <c r="A30" s="2">
        <v>27</v>
      </c>
      <c r="B30" s="3" t="s">
        <v>48</v>
      </c>
      <c r="C30" s="2" t="s">
        <v>51</v>
      </c>
      <c r="D30" s="4" t="s">
        <v>52</v>
      </c>
      <c r="E30" s="3" t="s">
        <v>14</v>
      </c>
      <c r="F30" s="2">
        <v>22</v>
      </c>
      <c r="G30" s="2"/>
      <c r="H30" s="2" t="s">
        <v>15</v>
      </c>
      <c r="I30" s="3"/>
    </row>
    <row r="31" spans="1:9" ht="26" customHeight="1" x14ac:dyDescent="0.2">
      <c r="A31" s="5">
        <v>28</v>
      </c>
      <c r="B31" s="6" t="s">
        <v>48</v>
      </c>
      <c r="C31" s="5" t="s">
        <v>53</v>
      </c>
      <c r="D31" s="7" t="s">
        <v>54</v>
      </c>
      <c r="E31" s="6" t="s">
        <v>14</v>
      </c>
      <c r="F31" s="5">
        <v>8</v>
      </c>
      <c r="G31" s="5"/>
      <c r="H31" s="5" t="s">
        <v>15</v>
      </c>
      <c r="I31" s="6"/>
    </row>
    <row r="32" spans="1:9" ht="26" customHeight="1" x14ac:dyDescent="0.2">
      <c r="A32" s="2">
        <v>29</v>
      </c>
      <c r="B32" s="3" t="s">
        <v>48</v>
      </c>
      <c r="C32" s="2" t="s">
        <v>17</v>
      </c>
      <c r="D32" s="4" t="s">
        <v>55</v>
      </c>
      <c r="E32" s="3" t="s">
        <v>14</v>
      </c>
      <c r="F32" s="2">
        <v>12</v>
      </c>
      <c r="G32" s="2"/>
      <c r="H32" s="2" t="s">
        <v>15</v>
      </c>
      <c r="I32" s="3"/>
    </row>
    <row r="33" spans="1:9" ht="26" customHeight="1" x14ac:dyDescent="0.2">
      <c r="A33" s="5">
        <v>30</v>
      </c>
      <c r="B33" s="6" t="s">
        <v>56</v>
      </c>
      <c r="C33" s="5" t="s">
        <v>12</v>
      </c>
      <c r="D33" s="7" t="s">
        <v>57</v>
      </c>
      <c r="E33" s="6" t="s">
        <v>58</v>
      </c>
      <c r="F33" s="5">
        <v>75</v>
      </c>
      <c r="G33" s="5"/>
      <c r="H33" s="5" t="s">
        <v>15</v>
      </c>
      <c r="I33" s="6"/>
    </row>
    <row r="34" spans="1:9" ht="26" customHeight="1" x14ac:dyDescent="0.2">
      <c r="A34" s="2">
        <v>31</v>
      </c>
      <c r="B34" s="3" t="s">
        <v>59</v>
      </c>
      <c r="C34" s="2" t="s">
        <v>12</v>
      </c>
      <c r="D34" s="4" t="s">
        <v>60</v>
      </c>
      <c r="E34" s="3" t="s">
        <v>12</v>
      </c>
      <c r="F34" s="2"/>
      <c r="G34" s="2"/>
      <c r="H34" s="2" t="s">
        <v>61</v>
      </c>
      <c r="I34" s="3"/>
    </row>
    <row r="35" spans="1:9" ht="26" customHeight="1" x14ac:dyDescent="0.2">
      <c r="A35" s="5">
        <v>32</v>
      </c>
      <c r="B35" s="6" t="s">
        <v>59</v>
      </c>
      <c r="C35" s="5" t="s">
        <v>12</v>
      </c>
      <c r="D35" s="7" t="s">
        <v>62</v>
      </c>
      <c r="E35" s="6" t="s">
        <v>12</v>
      </c>
      <c r="F35" s="5"/>
      <c r="G35" s="5"/>
      <c r="H35" s="5" t="s">
        <v>63</v>
      </c>
      <c r="I35" s="6"/>
    </row>
    <row r="36" spans="1:9" ht="26" customHeight="1" x14ac:dyDescent="0.2">
      <c r="A36" s="2">
        <v>33</v>
      </c>
      <c r="B36" s="3" t="s">
        <v>59</v>
      </c>
      <c r="C36" s="2" t="s">
        <v>12</v>
      </c>
      <c r="D36" s="4" t="s">
        <v>64</v>
      </c>
      <c r="E36" s="3" t="s">
        <v>12</v>
      </c>
      <c r="F36" s="2"/>
      <c r="G36" s="2"/>
      <c r="H36" s="2" t="s">
        <v>63</v>
      </c>
      <c r="I36" s="3"/>
    </row>
    <row r="38" spans="1:9" x14ac:dyDescent="0.2">
      <c r="D38" s="8" t="s">
        <v>65</v>
      </c>
      <c r="E38" s="9" t="s">
        <v>66</v>
      </c>
      <c r="F38" s="10">
        <f>SUM(F4:F36)</f>
        <v>587</v>
      </c>
    </row>
    <row r="39" spans="1:9" x14ac:dyDescent="0.2">
      <c r="E39" s="9" t="s">
        <v>67</v>
      </c>
      <c r="F39" s="10">
        <f>SUM(G4:G36)</f>
        <v>0</v>
      </c>
    </row>
    <row r="40" spans="1:9" x14ac:dyDescent="0.2">
      <c r="E40" s="9" t="s">
        <v>68</v>
      </c>
      <c r="F40" s="11">
        <f>ROUND(F38/60,1)</f>
        <v>9.8000000000000007</v>
      </c>
    </row>
    <row r="41" spans="1:9" x14ac:dyDescent="0.2">
      <c r="E41" s="9" t="s">
        <v>69</v>
      </c>
      <c r="F41" s="11" t="str">
        <f>COUNTIF(H4:H36,"✅ Hecho")&amp;" / "&amp;COUNTA(H4:H36)</f>
        <v>0 / 33</v>
      </c>
    </row>
  </sheetData>
  <autoFilter ref="A3:I36" xr:uid="{00000000-0009-0000-0000-000000000000}"/>
  <mergeCells count="2">
    <mergeCell ref="A1:I1"/>
    <mergeCell ref="A2:I2"/>
  </mergeCells>
  <conditionalFormatting sqref="H4:H36">
    <cfRule type="cellIs" dxfId="5" priority="1" operator="equal">
      <formula>"✅ Hecho"</formula>
    </cfRule>
    <cfRule type="cellIs" dxfId="4" priority="2" operator="equal">
      <formula>"☐ Pendiente"</formula>
    </cfRule>
    <cfRule type="cellIs" dxfId="3" priority="3" operator="equal">
      <formula>"⏳ En curso"</formula>
    </cfRule>
    <cfRule type="cellIs" dxfId="2" priority="4" operator="equal">
      <formula>"⚠️ Incidencia"</formula>
    </cfRule>
    <cfRule type="cellIs" dxfId="1" priority="5" operator="equal">
      <formula>"— N/A"</formula>
    </cfRule>
    <cfRule type="cellIs" dxfId="0" priority="6" operator="equal">
      <formula>"❓ Revisar"</formula>
    </cfRule>
  </conditionalFormatting>
  <dataValidations count="2">
    <dataValidation type="list" allowBlank="1" sqref="H4:H36" xr:uid="{00000000-0002-0000-0000-000000000000}">
      <formula1>"☐ Pendiente,⏳ En curso,✅ Hecho,⚠️ Incidencia,— N/A,❓ Revisar"</formula1>
    </dataValidation>
    <dataValidation type="list" allowBlank="1" sqref="E4:E36" xr:uid="{00000000-0002-0000-0000-000001000000}">
      <formula1>"P1 · Home &amp; Formación,P2 · LFE,P3 · Admin,P4 · Expediente &amp; IMR,Coordinación,Todos,—"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36.1640625" customWidth="1"/>
    <col min="2" max="2" width="21.33203125" customWidth="1"/>
    <col min="3" max="3" width="20.6640625" customWidth="1"/>
    <col min="4" max="4" width="22.1640625" customWidth="1"/>
  </cols>
  <sheetData>
    <row r="1" spans="1:4" ht="28" customHeight="1" x14ac:dyDescent="0.2">
      <c r="A1" s="20" t="s">
        <v>70</v>
      </c>
      <c r="B1" s="18"/>
      <c r="C1" s="18"/>
      <c r="D1" s="18"/>
    </row>
    <row r="3" spans="1:4" ht="30" customHeight="1" x14ac:dyDescent="0.2">
      <c r="A3" s="12" t="s">
        <v>71</v>
      </c>
      <c r="B3" s="12" t="s">
        <v>7</v>
      </c>
      <c r="C3" s="12" t="s">
        <v>8</v>
      </c>
      <c r="D3" s="12" t="s">
        <v>72</v>
      </c>
    </row>
    <row r="4" spans="1:4" x14ac:dyDescent="0.2">
      <c r="A4" s="13" t="s">
        <v>22</v>
      </c>
      <c r="B4" s="14">
        <f>SUMIF('Tablero migración'!E:E,A4,'Tablero migración'!F:F)</f>
        <v>89</v>
      </c>
      <c r="C4" s="14">
        <f>SUMIF('Tablero migración'!E:E,A4,'Tablero migración'!G:G)</f>
        <v>0</v>
      </c>
      <c r="D4" s="14">
        <f t="shared" ref="D4:D9" si="0">ROUND(B4/60,1)</f>
        <v>1.5</v>
      </c>
    </row>
    <row r="5" spans="1:4" x14ac:dyDescent="0.2">
      <c r="A5" s="13" t="s">
        <v>27</v>
      </c>
      <c r="B5" s="14">
        <f>SUMIF('Tablero migración'!E:E,A5,'Tablero migración'!F:F)</f>
        <v>92</v>
      </c>
      <c r="C5" s="14">
        <f>SUMIF('Tablero migración'!E:E,A5,'Tablero migración'!G:G)</f>
        <v>0</v>
      </c>
      <c r="D5" s="14">
        <f t="shared" si="0"/>
        <v>1.5</v>
      </c>
    </row>
    <row r="6" spans="1:4" x14ac:dyDescent="0.2">
      <c r="A6" s="13" t="s">
        <v>33</v>
      </c>
      <c r="B6" s="14">
        <f>SUMIF('Tablero migración'!E:E,A6,'Tablero migración'!F:F)</f>
        <v>118</v>
      </c>
      <c r="C6" s="14">
        <f>SUMIF('Tablero migración'!E:E,A6,'Tablero migración'!G:G)</f>
        <v>0</v>
      </c>
      <c r="D6" s="14">
        <f t="shared" si="0"/>
        <v>2</v>
      </c>
    </row>
    <row r="7" spans="1:4" x14ac:dyDescent="0.2">
      <c r="A7" s="13" t="s">
        <v>42</v>
      </c>
      <c r="B7" s="14">
        <f>SUMIF('Tablero migración'!E:E,A7,'Tablero migración'!F:F)</f>
        <v>101</v>
      </c>
      <c r="C7" s="14">
        <f>SUMIF('Tablero migración'!E:E,A7,'Tablero migración'!G:G)</f>
        <v>0</v>
      </c>
      <c r="D7" s="14">
        <f t="shared" si="0"/>
        <v>1.7</v>
      </c>
    </row>
    <row r="8" spans="1:4" x14ac:dyDescent="0.2">
      <c r="A8" s="13" t="s">
        <v>14</v>
      </c>
      <c r="B8" s="14">
        <f>SUMIF('Tablero migración'!E:E,A8,'Tablero migración'!F:F)</f>
        <v>112</v>
      </c>
      <c r="C8" s="14">
        <f>SUMIF('Tablero migración'!E:E,A8,'Tablero migración'!G:G)</f>
        <v>0</v>
      </c>
      <c r="D8" s="14">
        <f t="shared" si="0"/>
        <v>1.9</v>
      </c>
    </row>
    <row r="9" spans="1:4" x14ac:dyDescent="0.2">
      <c r="A9" s="13" t="s">
        <v>58</v>
      </c>
      <c r="B9" s="14">
        <f>SUMIF('Tablero migración'!E:E,A9,'Tablero migración'!F:F)</f>
        <v>75</v>
      </c>
      <c r="C9" s="14">
        <f>SUMIF('Tablero migración'!E:E,A9,'Tablero migración'!G:G)</f>
        <v>0</v>
      </c>
      <c r="D9" s="14">
        <f t="shared" si="0"/>
        <v>1.3</v>
      </c>
    </row>
    <row r="11" spans="1:4" ht="16" x14ac:dyDescent="0.2">
      <c r="A11" s="15" t="s">
        <v>73</v>
      </c>
    </row>
    <row r="12" spans="1:4" x14ac:dyDescent="0.2">
      <c r="A12" s="16" t="s">
        <v>74</v>
      </c>
      <c r="B12" s="22" t="s">
        <v>75</v>
      </c>
      <c r="C12" s="18"/>
      <c r="D12" s="18"/>
    </row>
    <row r="13" spans="1:4" x14ac:dyDescent="0.2">
      <c r="A13" s="16" t="s">
        <v>76</v>
      </c>
      <c r="B13" s="22" t="s">
        <v>77</v>
      </c>
      <c r="C13" s="18"/>
      <c r="D13" s="18"/>
    </row>
    <row r="14" spans="1:4" x14ac:dyDescent="0.2">
      <c r="A14" s="16" t="s">
        <v>78</v>
      </c>
      <c r="B14" s="22" t="s">
        <v>79</v>
      </c>
      <c r="C14" s="18"/>
      <c r="D14" s="18"/>
    </row>
    <row r="15" spans="1:4" x14ac:dyDescent="0.2">
      <c r="A15" s="16" t="s">
        <v>80</v>
      </c>
      <c r="B15" s="22" t="s">
        <v>81</v>
      </c>
      <c r="C15" s="18"/>
      <c r="D15" s="18"/>
    </row>
    <row r="17" spans="1:4" ht="16" x14ac:dyDescent="0.2">
      <c r="A17" s="15" t="s">
        <v>82</v>
      </c>
    </row>
    <row r="18" spans="1:4" x14ac:dyDescent="0.2">
      <c r="A18" s="16" t="s">
        <v>83</v>
      </c>
      <c r="B18" s="21" t="s">
        <v>84</v>
      </c>
      <c r="C18" s="18"/>
      <c r="D18" s="18"/>
    </row>
    <row r="19" spans="1:4" x14ac:dyDescent="0.2">
      <c r="A19" s="16" t="s">
        <v>85</v>
      </c>
      <c r="B19" s="21" t="s">
        <v>86</v>
      </c>
      <c r="C19" s="18"/>
      <c r="D19" s="18"/>
    </row>
    <row r="20" spans="1:4" x14ac:dyDescent="0.2">
      <c r="A20" s="16" t="s">
        <v>87</v>
      </c>
      <c r="B20" s="21" t="s">
        <v>88</v>
      </c>
      <c r="C20" s="18"/>
      <c r="D20" s="18"/>
    </row>
  </sheetData>
  <mergeCells count="8">
    <mergeCell ref="B20:D20"/>
    <mergeCell ref="A1:D1"/>
    <mergeCell ref="B19:D19"/>
    <mergeCell ref="B14:D14"/>
    <mergeCell ref="B15:D15"/>
    <mergeCell ref="B18:D18"/>
    <mergeCell ref="B13:D13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Tablero migración</vt:lpstr>
      <vt:lpstr>Reparto y 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Real Herrador</cp:lastModifiedBy>
  <dcterms:created xsi:type="dcterms:W3CDTF">2026-09-01T08:41:08Z</dcterms:created>
  <dcterms:modified xsi:type="dcterms:W3CDTF">2026-09-07T07:19:37Z</dcterms:modified>
</cp:coreProperties>
</file>